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yaepyaethu/Downloads/"/>
    </mc:Choice>
  </mc:AlternateContent>
  <xr:revisionPtr revIDLastSave="0" documentId="13_ncr:1_{BFABDF40-0B93-8D4D-9B24-FD3734F74FFF}" xr6:coauthVersionLast="47" xr6:coauthVersionMax="47" xr10:uidLastSave="{00000000-0000-0000-0000-000000000000}"/>
  <bookViews>
    <workbookView xWindow="0" yWindow="0" windowWidth="28800" windowHeight="18000" activeTab="3" xr2:uid="{8FB27CF8-E121-FB41-85DD-84DFC7FD7CDB}"/>
  </bookViews>
  <sheets>
    <sheet name="Justin_solver (2)" sheetId="7" state="hidden" r:id="rId1"/>
    <sheet name="Main " sheetId="1" state="hidden" r:id="rId2"/>
    <sheet name="Before Solver" sheetId="5" state="hidden" r:id="rId3"/>
    <sheet name="before_solver" sheetId="6" r:id="rId4"/>
    <sheet name="Answer Report 1" sheetId="8" r:id="rId5"/>
    <sheet name="Sensitivity Report 1" sheetId="9" r:id="rId6"/>
    <sheet name="Limits Report 1" sheetId="10" r:id="rId7"/>
  </sheets>
  <definedNames>
    <definedName name="solver_adj" localSheetId="2" hidden="1">'Before Solver'!$B$13:$B$15</definedName>
    <definedName name="solver_adj" localSheetId="3" hidden="1">before_solver!$B$9:$D$9</definedName>
    <definedName name="solver_adj" localSheetId="0" hidden="1">'Justin_solver (2)'!$B$9:$D$9</definedName>
    <definedName name="solver_adj" localSheetId="1" hidden="1">'Main '!$B$13:$B$15</definedName>
    <definedName name="solver_cvg" localSheetId="2" hidden="1">0.0001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0" hidden="1">1</definedName>
    <definedName name="solver_drv" localSheetId="1" hidden="1">1</definedName>
    <definedName name="solver_eng" localSheetId="2" hidden="1">1</definedName>
    <definedName name="solver_eng" localSheetId="3" hidden="1">1</definedName>
    <definedName name="solver_eng" localSheetId="0" hidden="1">1</definedName>
    <definedName name="solver_eng" localSheetId="1" hidden="1">1</definedName>
    <definedName name="solver_itr" localSheetId="2" hidden="1">2147483647</definedName>
    <definedName name="solver_itr" localSheetId="3" hidden="1">2147483647</definedName>
    <definedName name="solver_itr" localSheetId="0" hidden="1">2147483647</definedName>
    <definedName name="solver_itr" localSheetId="1" hidden="1">2147483647</definedName>
    <definedName name="solver_lhs1" localSheetId="2" hidden="1">'Before Solver'!$B$13:$B$15</definedName>
    <definedName name="solver_lhs1" localSheetId="3" hidden="1">before_solver!$B$12</definedName>
    <definedName name="solver_lhs1" localSheetId="0" hidden="1">'Justin_solver (2)'!$B$12</definedName>
    <definedName name="solver_lhs1" localSheetId="1" hidden="1">'Main '!$B$13:$B$15</definedName>
    <definedName name="solver_lhs2" localSheetId="2" hidden="1">'Before Solver'!$B$18</definedName>
    <definedName name="solver_lhs2" localSheetId="3" hidden="1">before_solver!$B$13</definedName>
    <definedName name="solver_lhs2" localSheetId="0" hidden="1">'Justin_solver (2)'!$B$13</definedName>
    <definedName name="solver_lhs2" localSheetId="1" hidden="1">'Main '!$B$18</definedName>
    <definedName name="solver_lhs3" localSheetId="2" hidden="1">'Before Solver'!$B$19</definedName>
    <definedName name="solver_lhs3" localSheetId="3" hidden="1">before_solver!$B$9:$D$9</definedName>
    <definedName name="solver_lhs3" localSheetId="0" hidden="1">'Justin_solver (2)'!$B$9:$D$9</definedName>
    <definedName name="solver_lhs3" localSheetId="1" hidden="1">'Main '!$B$19</definedName>
    <definedName name="solver_lin" localSheetId="2" hidden="1">2</definedName>
    <definedName name="solver_lin" localSheetId="3" hidden="1">2</definedName>
    <definedName name="solver_lin" localSheetId="0" hidden="1">2</definedName>
    <definedName name="solver_lin" localSheetId="1" hidden="1">2</definedName>
    <definedName name="solver_mip" localSheetId="2" hidden="1">2147483647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0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0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0" hidden="1">1</definedName>
    <definedName name="solver_neg" localSheetId="1" hidden="1">1</definedName>
    <definedName name="solver_nod" localSheetId="2" hidden="1">2147483647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um" localSheetId="2" hidden="1">3</definedName>
    <definedName name="solver_num" localSheetId="3" hidden="1">3</definedName>
    <definedName name="solver_num" localSheetId="0" hidden="1">3</definedName>
    <definedName name="solver_num" localSheetId="1" hidden="1">3</definedName>
    <definedName name="solver_opt" localSheetId="2" hidden="1">'Before Solver'!$B$17</definedName>
    <definedName name="solver_opt" localSheetId="3" hidden="1">before_solver!$B$14</definedName>
    <definedName name="solver_opt" localSheetId="0" hidden="1">'Justin_solver (2)'!$B$14</definedName>
    <definedName name="solver_opt" localSheetId="1" hidden="1">'Main '!$B$17</definedName>
    <definedName name="solver_pre" localSheetId="2" hidden="1">0.000001</definedName>
    <definedName name="solver_pre" localSheetId="3" hidden="1">0.000001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0" hidden="1">1</definedName>
    <definedName name="solver_rbv" localSheetId="1" hidden="1">1</definedName>
    <definedName name="solver_rel1" localSheetId="2" hidden="1">3</definedName>
    <definedName name="solver_rel1" localSheetId="3" hidden="1">3</definedName>
    <definedName name="solver_rel1" localSheetId="0" hidden="1">3</definedName>
    <definedName name="solver_rel1" localSheetId="1" hidden="1">3</definedName>
    <definedName name="solver_rel2" localSheetId="2" hidden="1">3</definedName>
    <definedName name="solver_rel2" localSheetId="3" hidden="1">2</definedName>
    <definedName name="solver_rel2" localSheetId="0" hidden="1">2</definedName>
    <definedName name="solver_rel2" localSheetId="1" hidden="1">3</definedName>
    <definedName name="solver_rel3" localSheetId="2" hidden="1">2</definedName>
    <definedName name="solver_rel3" localSheetId="3" hidden="1">3</definedName>
    <definedName name="solver_rel3" localSheetId="0" hidden="1">3</definedName>
    <definedName name="solver_rel3" localSheetId="1" hidden="1">2</definedName>
    <definedName name="solver_rhs1" localSheetId="2" hidden="1">0</definedName>
    <definedName name="solver_rhs1" localSheetId="3" hidden="1">before_solver!$B$11</definedName>
    <definedName name="solver_rhs1" localSheetId="0" hidden="1">'Justin_solver (2)'!$B$11</definedName>
    <definedName name="solver_rhs1" localSheetId="1" hidden="1">0</definedName>
    <definedName name="solver_rhs2" localSheetId="2" hidden="1">0.101</definedName>
    <definedName name="solver_rhs2" localSheetId="3" hidden="1">1</definedName>
    <definedName name="solver_rhs2" localSheetId="0" hidden="1">1</definedName>
    <definedName name="solver_rhs2" localSheetId="1" hidden="1">0.102</definedName>
    <definedName name="solver_rhs3" localSheetId="2" hidden="1">1</definedName>
    <definedName name="solver_rhs3" localSheetId="3" hidden="1">0</definedName>
    <definedName name="solver_rhs3" localSheetId="0" hidden="1">0</definedName>
    <definedName name="solver_rhs3" localSheetId="1" hidden="1">1</definedName>
    <definedName name="solver_rlx" localSheetId="2" hidden="1">2</definedName>
    <definedName name="solver_rlx" localSheetId="3" hidden="1">1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scl" localSheetId="2" hidden="1">1</definedName>
    <definedName name="solver_scl" localSheetId="3" hidden="1">2</definedName>
    <definedName name="solver_scl" localSheetId="0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0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0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0" hidden="1">0.01</definedName>
    <definedName name="solver_tol" localSheetId="1" hidden="1">0.01</definedName>
    <definedName name="solver_typ" localSheetId="2" hidden="1">2</definedName>
    <definedName name="solver_typ" localSheetId="3" hidden="1">2</definedName>
    <definedName name="solver_typ" localSheetId="0" hidden="1">2</definedName>
    <definedName name="solver_typ" localSheetId="1" hidden="1">2</definedName>
    <definedName name="solver_val" localSheetId="2" hidden="1">0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er" localSheetId="2" hidden="1">2</definedName>
    <definedName name="solver_ver" localSheetId="3" hidden="1">2</definedName>
    <definedName name="solver_ver" localSheetId="0" hidden="1">2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6" l="1"/>
  <c r="B15" i="6" s="1"/>
  <c r="B12" i="6"/>
  <c r="B11" i="6"/>
  <c r="B14" i="7"/>
  <c r="B15" i="7" s="1"/>
  <c r="B13" i="7"/>
  <c r="B12" i="7"/>
  <c r="B11" i="7"/>
  <c r="B13" i="6"/>
  <c r="B18" i="5"/>
  <c r="B20" i="1"/>
  <c r="B17" i="5"/>
  <c r="B20" i="5"/>
  <c r="B19" i="5"/>
  <c r="B19" i="1"/>
  <c r="B18" i="1"/>
  <c r="B17" i="1"/>
</calcChain>
</file>

<file path=xl/sharedStrings.xml><?xml version="1.0" encoding="utf-8"?>
<sst xmlns="http://schemas.openxmlformats.org/spreadsheetml/2006/main" count="210" uniqueCount="103">
  <si>
    <t>Alpha</t>
  </si>
  <si>
    <t>Bravo</t>
  </si>
  <si>
    <t>Charlie</t>
  </si>
  <si>
    <t xml:space="preserve">Stock </t>
  </si>
  <si>
    <t xml:space="preserve">Expected Returrn </t>
  </si>
  <si>
    <t>Riisk(Variance of return)</t>
  </si>
  <si>
    <t xml:space="preserve">Alpha </t>
  </si>
  <si>
    <t xml:space="preserve">Bravo </t>
  </si>
  <si>
    <t>Decision Variables</t>
  </si>
  <si>
    <t xml:space="preserve">Protfolio Variance </t>
  </si>
  <si>
    <t xml:space="preserve">Protfolio Return </t>
  </si>
  <si>
    <t>Total Investment</t>
  </si>
  <si>
    <t>Target Return</t>
  </si>
  <si>
    <t>Team Number</t>
  </si>
  <si>
    <t>Meet our target return</t>
  </si>
  <si>
    <t>100%-Constraint satisfied</t>
  </si>
  <si>
    <t>Alpa(x1)</t>
  </si>
  <si>
    <t>Bravo(x2)</t>
  </si>
  <si>
    <t>Charlie(x3)</t>
  </si>
  <si>
    <t xml:space="preserve">Portfoilio Variance </t>
  </si>
  <si>
    <t>Portfolio Return</t>
  </si>
  <si>
    <t xml:space="preserve">Total Investment </t>
  </si>
  <si>
    <t>Variance-Covariance Matrix</t>
  </si>
  <si>
    <t xml:space="preserve">Target Return </t>
  </si>
  <si>
    <t xml:space="preserve">Team Number </t>
  </si>
  <si>
    <t>A</t>
  </si>
  <si>
    <t>B</t>
  </si>
  <si>
    <t>C</t>
  </si>
  <si>
    <t>D</t>
  </si>
  <si>
    <t>Stock</t>
  </si>
  <si>
    <t>Expected Return (mu)</t>
  </si>
  <si>
    <t>Variance-Covariance Matrix (Sigma)</t>
  </si>
  <si>
    <t>Decision variables (weights)</t>
  </si>
  <si>
    <t>Weights</t>
  </si>
  <si>
    <t>Target return</t>
  </si>
  <si>
    <t>Portfolio expected return</t>
  </si>
  <si>
    <t>Sum of weights</t>
  </si>
  <si>
    <t>Portfolio variance</t>
  </si>
  <si>
    <t>Portfolio stdev</t>
  </si>
  <si>
    <t>Solver setup (Excel)</t>
  </si>
  <si>
    <t>- Set Objective: cell B15 (portfolio variance) to Min.</t>
  </si>
  <si>
    <t>- By Changing Variable Cells: B10:D10 (weights).</t>
  </si>
  <si>
    <t>- Add constraints: (1) B14 = 1 (fully invested), (2) B13 &gt;= B12 (target return), (3) B10:D10 &gt;= 0 (no short-selling).</t>
  </si>
  <si>
    <t>- Solving method: GRG Nonlinear (works for this quadratic model).</t>
  </si>
  <si>
    <t>Microsoft Excel 16.105 Answer Report</t>
  </si>
  <si>
    <t>Worksheet: [Project2-Excel.xlsx]before_solver</t>
  </si>
  <si>
    <t>Report Created: 1/27/26 2:24:16 PM</t>
  </si>
  <si>
    <t>Result: Solver found a solution.  All constraints and optimality conditions are satisfied.</t>
  </si>
  <si>
    <t>Solver Engine</t>
  </si>
  <si>
    <t>Engine: GRG Nonlinear</t>
  </si>
  <si>
    <t>Solution Time: 304.56 Seconds.</t>
  </si>
  <si>
    <t>Iterations: 3 Subproblems: 0</t>
  </si>
  <si>
    <t>Solver Options</t>
  </si>
  <si>
    <t>Max Time Unlimited, Iterations Unlimited, Precision 1E-06</t>
  </si>
  <si>
    <t>Convergence 0.0001, Population Size 100, Random Seed 0, Derivatives Forward, Require Bounds</t>
  </si>
  <si>
    <t>Max Subproblems Unlimited, Max Integer Sols Unlimited, Integer Tolerance 1%, Solve Without Integer Constraints,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</si>
  <si>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</si>
  <si>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</si>
  <si>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</si>
  <si>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</si>
  <si>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</si>
  <si>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</si>
  <si>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</si>
  <si>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</si>
  <si>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</si>
  <si>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</si>
  <si>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</si>
  <si>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</si>
  <si>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$B$14</t>
  </si>
  <si>
    <t>Portfolio variance Alpha</t>
  </si>
  <si>
    <t>$B$9</t>
  </si>
  <si>
    <t>Weights Alpha</t>
  </si>
  <si>
    <t>Contin</t>
  </si>
  <si>
    <t>$C$9</t>
  </si>
  <si>
    <t>Weights Bravo</t>
  </si>
  <si>
    <t>$D$9</t>
  </si>
  <si>
    <t>Weights Charlie</t>
  </si>
  <si>
    <t>$B$12</t>
  </si>
  <si>
    <t>Portfolio expected return Alpha</t>
  </si>
  <si>
    <t>$B$12&gt;=$B$11</t>
  </si>
  <si>
    <t>Binding</t>
  </si>
  <si>
    <t>$B$13</t>
  </si>
  <si>
    <t>Sum of weights Alpha</t>
  </si>
  <si>
    <t>$B$13=1</t>
  </si>
  <si>
    <t>$B$9&gt;=0</t>
  </si>
  <si>
    <t>Not Binding</t>
  </si>
  <si>
    <t>$C$9&gt;=0</t>
  </si>
  <si>
    <t>$D$9&gt;=0</t>
  </si>
  <si>
    <t>Microsoft Excel 16.105 Sensitivity Report</t>
  </si>
  <si>
    <t>Report Created: 1/27/26 2:24:17 PM</t>
  </si>
  <si>
    <t>Final</t>
  </si>
  <si>
    <t>Value</t>
  </si>
  <si>
    <t>Reduced</t>
  </si>
  <si>
    <t>Gradient</t>
  </si>
  <si>
    <t>Lagrange</t>
  </si>
  <si>
    <t>Multiplier</t>
  </si>
  <si>
    <t>Microsoft Excel 16.105 Limits Report</t>
  </si>
  <si>
    <t>Objective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</si>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</sst>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8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Times New Roman"/>
      <family val="1"/>
    </font>
    <font>
      <sz val="12"/>
      <color theme="1"/>
      <name val="Aptos Narrow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2"/>
      <color indexed="1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3" xfId="0" applyFont="1" applyBorder="1"/>
    <xf numFmtId="0" fontId="0" fillId="0" borderId="7" xfId="0" applyBorder="1"/>
    <xf numFmtId="0" fontId="7" fillId="0" borderId="6" xfId="0" applyFont="1" applyBorder="1" applyAlignment="1">
      <alignment horizontal="center"/>
    </xf>
    <xf numFmtId="0" fontId="0" fillId="0" borderId="8" xfId="0" applyBorder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1624-BD98-454D-BF39-3AEB3AA376ED}">
  <dimension ref="A1:D21"/>
  <sheetViews>
    <sheetView workbookViewId="0">
      <selection activeCell="D10" sqref="D10"/>
    </sheetView>
  </sheetViews>
  <sheetFormatPr baseColWidth="10" defaultRowHeight="16" x14ac:dyDescent="0.2"/>
  <cols>
    <col min="1" max="1" width="33" customWidth="1"/>
    <col min="2" max="2" width="15.33203125" customWidth="1"/>
    <col min="3" max="3" width="16.83203125" customWidth="1"/>
    <col min="4" max="4" width="21.5" customWidth="1"/>
  </cols>
  <sheetData>
    <row r="1" spans="1:4" x14ac:dyDescent="0.2">
      <c r="A1" s="9" t="s">
        <v>29</v>
      </c>
      <c r="B1" s="10" t="s">
        <v>0</v>
      </c>
      <c r="C1" s="10" t="s">
        <v>1</v>
      </c>
      <c r="D1" s="10" t="s">
        <v>2</v>
      </c>
    </row>
    <row r="2" spans="1:4" x14ac:dyDescent="0.2">
      <c r="A2" s="9" t="s">
        <v>30</v>
      </c>
      <c r="B2" s="11">
        <v>6.2E-2</v>
      </c>
      <c r="C2" s="11">
        <v>0.14599999999999999</v>
      </c>
      <c r="D2" s="11">
        <v>0.128</v>
      </c>
    </row>
    <row r="3" spans="1:4" x14ac:dyDescent="0.2">
      <c r="A3" s="9" t="s">
        <v>31</v>
      </c>
      <c r="B3" s="10" t="s">
        <v>0</v>
      </c>
      <c r="C3" s="10" t="s">
        <v>1</v>
      </c>
      <c r="D3" s="10" t="s">
        <v>2</v>
      </c>
    </row>
    <row r="4" spans="1:4" x14ac:dyDescent="0.2">
      <c r="A4" s="9" t="s">
        <v>0</v>
      </c>
      <c r="B4" s="11">
        <v>1.46E-2</v>
      </c>
      <c r="C4" s="11">
        <v>1.8700000000000001E-2</v>
      </c>
      <c r="D4" s="11">
        <v>1.4500000000000001E-2</v>
      </c>
    </row>
    <row r="5" spans="1:4" x14ac:dyDescent="0.2">
      <c r="A5" s="9" t="s">
        <v>1</v>
      </c>
      <c r="B5" s="11">
        <v>1.8700000000000001E-2</v>
      </c>
      <c r="C5" s="11">
        <v>8.5400000000000004E-2</v>
      </c>
      <c r="D5" s="11">
        <v>1.04E-2</v>
      </c>
    </row>
    <row r="6" spans="1:4" x14ac:dyDescent="0.2">
      <c r="A6" s="9" t="s">
        <v>2</v>
      </c>
      <c r="B6" s="11">
        <v>1.4500000000000001E-2</v>
      </c>
      <c r="C6" s="11">
        <v>1.04E-2</v>
      </c>
      <c r="D6" s="11">
        <v>2.8899999999999999E-2</v>
      </c>
    </row>
    <row r="7" spans="1:4" x14ac:dyDescent="0.2">
      <c r="A7" s="9"/>
      <c r="B7" s="10" t="s">
        <v>0</v>
      </c>
      <c r="C7" s="10" t="s">
        <v>1</v>
      </c>
      <c r="D7" s="10" t="s">
        <v>2</v>
      </c>
    </row>
    <row r="8" spans="1:4" x14ac:dyDescent="0.2">
      <c r="A8" s="12" t="s">
        <v>32</v>
      </c>
      <c r="B8" s="13"/>
      <c r="C8" s="13"/>
      <c r="D8" s="13"/>
    </row>
    <row r="9" spans="1:4" x14ac:dyDescent="0.2">
      <c r="A9" s="9" t="s">
        <v>33</v>
      </c>
      <c r="B9" s="11">
        <v>0.4384725982180056</v>
      </c>
      <c r="C9" s="11">
        <v>0.10773284213618724</v>
      </c>
      <c r="D9" s="11">
        <v>0.45379456297065229</v>
      </c>
    </row>
    <row r="10" spans="1:4" x14ac:dyDescent="0.2">
      <c r="A10" s="13"/>
      <c r="B10" s="13"/>
      <c r="C10" s="13"/>
      <c r="D10" s="13"/>
    </row>
    <row r="11" spans="1:4" x14ac:dyDescent="0.2">
      <c r="A11" s="14" t="s">
        <v>34</v>
      </c>
      <c r="B11" s="15">
        <f>(9.5+0.1*6)/100</f>
        <v>0.10099999999999999</v>
      </c>
      <c r="C11" s="13"/>
      <c r="D11" s="13"/>
    </row>
    <row r="12" spans="1:4" x14ac:dyDescent="0.2">
      <c r="A12" s="14" t="s">
        <v>35</v>
      </c>
      <c r="B12" s="15">
        <f>B2*B9+C2*C9+D2*D9</f>
        <v>0.10100000010164317</v>
      </c>
      <c r="C12" s="13"/>
      <c r="D12" s="13"/>
    </row>
    <row r="13" spans="1:4" x14ac:dyDescent="0.2">
      <c r="A13" s="14" t="s">
        <v>36</v>
      </c>
      <c r="B13" s="15">
        <f>SUM(B9:D9)</f>
        <v>1.0000000033248451</v>
      </c>
      <c r="C13" s="13"/>
      <c r="D13" s="13"/>
    </row>
    <row r="14" spans="1:4" x14ac:dyDescent="0.2">
      <c r="A14" s="14" t="s">
        <v>37</v>
      </c>
      <c r="B14" s="15">
        <f>0.0146*B9*B9 + 0.0187*B9*C9 + 0.0145*B9*D9 + 0.0187*C9*B9 + 0.0854*C9*C9 + 0.0104*C9*D9 + 0.0145*D9*B9 + 0.0104*D9*C9 + 0.0289*D9*D9</f>
        <v>1.8303414107434954E-2</v>
      </c>
      <c r="C14" s="13"/>
      <c r="D14" s="13"/>
    </row>
    <row r="15" spans="1:4" x14ac:dyDescent="0.2">
      <c r="A15" s="14" t="s">
        <v>38</v>
      </c>
      <c r="B15" s="15">
        <f>SQRT(B14)</f>
        <v>0.13529011090037199</v>
      </c>
      <c r="C15" s="13"/>
      <c r="D15" s="13"/>
    </row>
    <row r="16" spans="1:4" x14ac:dyDescent="0.2">
      <c r="A16" s="13"/>
      <c r="B16" s="13"/>
      <c r="C16" s="13"/>
      <c r="D16" s="13"/>
    </row>
    <row r="17" spans="1:4" x14ac:dyDescent="0.2">
      <c r="A17" s="12" t="s">
        <v>39</v>
      </c>
      <c r="B17" s="13"/>
      <c r="C17" s="13"/>
      <c r="D17" s="13"/>
    </row>
    <row r="18" spans="1:4" x14ac:dyDescent="0.2">
      <c r="A18" s="13" t="s">
        <v>40</v>
      </c>
      <c r="B18" s="13"/>
      <c r="C18" s="13"/>
      <c r="D18" s="13"/>
    </row>
    <row r="19" spans="1:4" x14ac:dyDescent="0.2">
      <c r="A19" s="13" t="s">
        <v>41</v>
      </c>
      <c r="B19" s="13"/>
      <c r="C19" s="13"/>
      <c r="D19" s="13"/>
    </row>
    <row r="20" spans="1:4" x14ac:dyDescent="0.2">
      <c r="A20" s="13" t="s">
        <v>42</v>
      </c>
      <c r="B20" s="13"/>
      <c r="C20" s="13"/>
      <c r="D20" s="13"/>
    </row>
    <row r="21" spans="1:4" x14ac:dyDescent="0.2">
      <c r="A21" s="13" t="s">
        <v>43</v>
      </c>
      <c r="B21" s="13"/>
      <c r="C21" s="13"/>
      <c r="D2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7AA7-6FF6-6D41-B112-A1A2C8874BD2}">
  <dimension ref="A1:G20"/>
  <sheetViews>
    <sheetView zoomScale="117" zoomScaleNormal="100" workbookViewId="0">
      <selection activeCell="B21" sqref="B21"/>
    </sheetView>
  </sheetViews>
  <sheetFormatPr baseColWidth="10" defaultRowHeight="16" x14ac:dyDescent="0.2"/>
  <cols>
    <col min="1" max="1" width="16.1640625" customWidth="1"/>
    <col min="2" max="2" width="16" customWidth="1"/>
    <col min="3" max="3" width="22.83203125" customWidth="1"/>
    <col min="6" max="6" width="14.5" customWidth="1"/>
  </cols>
  <sheetData>
    <row r="1" spans="1:7" x14ac:dyDescent="0.2">
      <c r="A1" t="s">
        <v>3</v>
      </c>
      <c r="B1" t="s">
        <v>4</v>
      </c>
      <c r="C1" t="s">
        <v>5</v>
      </c>
    </row>
    <row r="2" spans="1:7" x14ac:dyDescent="0.2">
      <c r="A2" t="s">
        <v>0</v>
      </c>
      <c r="B2">
        <v>6.2E-2</v>
      </c>
      <c r="C2">
        <v>1.46E-2</v>
      </c>
    </row>
    <row r="3" spans="1:7" x14ac:dyDescent="0.2">
      <c r="A3" t="s">
        <v>1</v>
      </c>
      <c r="B3">
        <v>0.14599999999999999</v>
      </c>
      <c r="C3">
        <v>8.5400000000000004E-2</v>
      </c>
      <c r="F3" t="s">
        <v>13</v>
      </c>
      <c r="G3">
        <v>6</v>
      </c>
    </row>
    <row r="4" spans="1:7" x14ac:dyDescent="0.2">
      <c r="A4" t="s">
        <v>2</v>
      </c>
      <c r="B4">
        <v>0.128</v>
      </c>
      <c r="C4">
        <v>2.8899999999999999E-2</v>
      </c>
    </row>
    <row r="7" spans="1:7" ht="23" x14ac:dyDescent="0.25">
      <c r="B7" t="s">
        <v>6</v>
      </c>
      <c r="C7" t="s">
        <v>7</v>
      </c>
      <c r="D7" t="s">
        <v>2</v>
      </c>
      <c r="F7" s="1"/>
    </row>
    <row r="8" spans="1:7" ht="23" x14ac:dyDescent="0.25">
      <c r="A8" t="s">
        <v>0</v>
      </c>
      <c r="B8">
        <v>1.46E-2</v>
      </c>
      <c r="C8">
        <v>1.8700000000000001E-2</v>
      </c>
      <c r="D8">
        <v>0.14499999999999999</v>
      </c>
      <c r="F8" s="1"/>
    </row>
    <row r="9" spans="1:7" x14ac:dyDescent="0.2">
      <c r="A9" t="s">
        <v>1</v>
      </c>
      <c r="B9">
        <v>1.8700000000000001E-2</v>
      </c>
      <c r="C9">
        <v>8.5400000000000004E-2</v>
      </c>
      <c r="D9">
        <v>1.04E-2</v>
      </c>
    </row>
    <row r="10" spans="1:7" x14ac:dyDescent="0.2">
      <c r="A10" t="s">
        <v>2</v>
      </c>
      <c r="B10">
        <v>1.4500000000000001E-2</v>
      </c>
      <c r="C10">
        <v>1.04E-2</v>
      </c>
      <c r="D10">
        <v>2.8899999999999999E-2</v>
      </c>
    </row>
    <row r="12" spans="1:7" x14ac:dyDescent="0.2">
      <c r="A12" t="s">
        <v>8</v>
      </c>
    </row>
    <row r="13" spans="1:7" x14ac:dyDescent="0.2">
      <c r="A13" t="s">
        <v>16</v>
      </c>
      <c r="B13">
        <v>0.52381123645131877</v>
      </c>
    </row>
    <row r="14" spans="1:7" x14ac:dyDescent="0.2">
      <c r="A14" t="s">
        <v>17</v>
      </c>
      <c r="B14">
        <v>0.47618976354868103</v>
      </c>
    </row>
    <row r="15" spans="1:7" x14ac:dyDescent="0.2">
      <c r="A15" t="s">
        <v>18</v>
      </c>
      <c r="B15">
        <v>0</v>
      </c>
    </row>
    <row r="17" spans="1:3" x14ac:dyDescent="0.2">
      <c r="A17" t="s">
        <v>9</v>
      </c>
      <c r="B17">
        <f>B8*B13*B13+C8*B13*B14+D8*B13*B15+B9*B14*B13+C9*B14*B14+D9*B14*B15+B10*B15*B13+C10*B15*B14+D10*B15*B15</f>
        <v>3.269975801674499E-2</v>
      </c>
    </row>
    <row r="18" spans="1:3" x14ac:dyDescent="0.2">
      <c r="A18" t="s">
        <v>10</v>
      </c>
      <c r="B18">
        <f>B2*B13+B3*B14+B4*B15</f>
        <v>0.10200000213808919</v>
      </c>
      <c r="C18" t="s">
        <v>14</v>
      </c>
    </row>
    <row r="19" spans="1:3" x14ac:dyDescent="0.2">
      <c r="A19" t="s">
        <v>11</v>
      </c>
      <c r="B19">
        <f>SUM(B13:B15)</f>
        <v>1.0000009999999997</v>
      </c>
      <c r="C19" t="s">
        <v>15</v>
      </c>
    </row>
    <row r="20" spans="1:3" x14ac:dyDescent="0.2">
      <c r="A20" t="s">
        <v>12</v>
      </c>
      <c r="B20">
        <f>9.5+0.1*G3</f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CF81-26E5-7A41-88FB-FA741D725566}">
  <dimension ref="A1:G20"/>
  <sheetViews>
    <sheetView workbookViewId="0">
      <selection activeCell="B19" sqref="B19"/>
    </sheetView>
  </sheetViews>
  <sheetFormatPr baseColWidth="10" defaultRowHeight="16" x14ac:dyDescent="0.2"/>
  <cols>
    <col min="1" max="1" width="23.83203125" customWidth="1"/>
    <col min="2" max="2" width="17.6640625" customWidth="1"/>
    <col min="3" max="3" width="21.1640625" customWidth="1"/>
    <col min="6" max="6" width="14.1640625" customWidth="1"/>
  </cols>
  <sheetData>
    <row r="1" spans="1:7" x14ac:dyDescent="0.2">
      <c r="A1" s="5" t="s">
        <v>3</v>
      </c>
      <c r="B1" s="5" t="s">
        <v>4</v>
      </c>
      <c r="C1" s="5" t="s">
        <v>5</v>
      </c>
      <c r="F1" t="s">
        <v>24</v>
      </c>
      <c r="G1">
        <v>6</v>
      </c>
    </row>
    <row r="2" spans="1:7" x14ac:dyDescent="0.2">
      <c r="A2" s="6" t="s">
        <v>0</v>
      </c>
      <c r="B2" s="4">
        <v>6.2E-2</v>
      </c>
      <c r="C2" s="4">
        <v>1.46E-2</v>
      </c>
    </row>
    <row r="3" spans="1:7" x14ac:dyDescent="0.2">
      <c r="A3" s="6" t="s">
        <v>1</v>
      </c>
      <c r="B3" s="4">
        <v>0.14599999999999999</v>
      </c>
      <c r="C3" s="4">
        <v>8.5400000000000004E-2</v>
      </c>
    </row>
    <row r="4" spans="1:7" x14ac:dyDescent="0.2">
      <c r="A4" s="6" t="s">
        <v>2</v>
      </c>
      <c r="B4" s="4">
        <v>0.128</v>
      </c>
      <c r="C4" s="4">
        <v>2.8899999999999999E-2</v>
      </c>
    </row>
    <row r="5" spans="1:7" x14ac:dyDescent="0.2">
      <c r="A5" s="7" t="s">
        <v>25</v>
      </c>
      <c r="B5" s="8" t="s">
        <v>26</v>
      </c>
      <c r="C5" s="8" t="s">
        <v>27</v>
      </c>
      <c r="D5" s="8" t="s">
        <v>28</v>
      </c>
    </row>
    <row r="6" spans="1:7" x14ac:dyDescent="0.2">
      <c r="A6" s="5" t="s">
        <v>22</v>
      </c>
      <c r="B6" s="4"/>
      <c r="C6" s="4"/>
      <c r="D6" s="4"/>
    </row>
    <row r="7" spans="1:7" x14ac:dyDescent="0.2">
      <c r="A7" s="4" t="s">
        <v>0</v>
      </c>
      <c r="B7" s="4">
        <v>1.46E-2</v>
      </c>
      <c r="C7" s="4">
        <v>1.8700000000000001E-2</v>
      </c>
      <c r="D7" s="4">
        <v>0.14499999999999999</v>
      </c>
    </row>
    <row r="8" spans="1:7" x14ac:dyDescent="0.2">
      <c r="A8" s="4" t="s">
        <v>1</v>
      </c>
      <c r="B8" s="4">
        <v>1.8700000000000001E-2</v>
      </c>
      <c r="C8" s="4">
        <v>8.5400000000000004E-2</v>
      </c>
      <c r="D8" s="4">
        <v>1.04E-2</v>
      </c>
    </row>
    <row r="9" spans="1:7" x14ac:dyDescent="0.2">
      <c r="A9" s="4" t="s">
        <v>2</v>
      </c>
      <c r="B9" s="4">
        <v>1.4500000000000001E-2</v>
      </c>
      <c r="C9" s="4">
        <v>1.04E-2</v>
      </c>
      <c r="D9" s="4">
        <v>2.8899999999999999E-2</v>
      </c>
    </row>
    <row r="12" spans="1:7" x14ac:dyDescent="0.2">
      <c r="A12" s="2" t="s">
        <v>8</v>
      </c>
    </row>
    <row r="13" spans="1:7" x14ac:dyDescent="0.2">
      <c r="A13" t="s">
        <v>0</v>
      </c>
      <c r="B13">
        <v>0.43847259707961306</v>
      </c>
    </row>
    <row r="14" spans="1:7" x14ac:dyDescent="0.2">
      <c r="A14" t="s">
        <v>1</v>
      </c>
      <c r="B14">
        <v>0.10773283796207957</v>
      </c>
    </row>
    <row r="15" spans="1:7" x14ac:dyDescent="0.2">
      <c r="A15" t="s">
        <v>2</v>
      </c>
      <c r="B15">
        <v>0.45379456828315262</v>
      </c>
    </row>
    <row r="17" spans="1:2" x14ac:dyDescent="0.2">
      <c r="A17" t="s">
        <v>19</v>
      </c>
      <c r="B17">
        <f>0.0146*B13*B13 + 0.0187*B13*B14 + 0.0145*B13*B15 + 0.0187*B14*B13 + 0.0854*B14*B14 + 0.0104*B14*B15 + 0.0145*B15*B13 + 0.0104*B15*B14 + 0.0289*B15*B15</f>
        <v>1.8303414107434957E-2</v>
      </c>
    </row>
    <row r="18" spans="1:2" x14ac:dyDescent="0.2">
      <c r="A18" t="s">
        <v>20</v>
      </c>
      <c r="B18" s="3">
        <f>0.062*B13 + 0.146*B14 + 0.128*B15</f>
        <v>0.10100000010164316</v>
      </c>
    </row>
    <row r="19" spans="1:2" x14ac:dyDescent="0.2">
      <c r="A19" t="s">
        <v>21</v>
      </c>
      <c r="B19">
        <f>B13+B14+B15</f>
        <v>1.0000000033248453</v>
      </c>
    </row>
    <row r="20" spans="1:2" x14ac:dyDescent="0.2">
      <c r="A20" t="s">
        <v>23</v>
      </c>
      <c r="B20">
        <f>9.5+0.1*G1</f>
        <v>10.1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5801-A51E-044F-A8B5-1123BEC5DD5A}">
  <dimension ref="A1:D21"/>
  <sheetViews>
    <sheetView tabSelected="1" zoomScale="135" workbookViewId="0">
      <selection activeCell="B23" sqref="B23"/>
    </sheetView>
  </sheetViews>
  <sheetFormatPr baseColWidth="10" defaultRowHeight="16" x14ac:dyDescent="0.2"/>
  <cols>
    <col min="1" max="1" width="33" customWidth="1"/>
    <col min="2" max="2" width="15.33203125" customWidth="1"/>
    <col min="3" max="3" width="16.83203125" customWidth="1"/>
    <col min="4" max="4" width="21.5" customWidth="1"/>
  </cols>
  <sheetData>
    <row r="1" spans="1:4" x14ac:dyDescent="0.2">
      <c r="A1" s="9" t="s">
        <v>29</v>
      </c>
      <c r="B1" s="10" t="s">
        <v>0</v>
      </c>
      <c r="C1" s="10" t="s">
        <v>1</v>
      </c>
      <c r="D1" s="10" t="s">
        <v>2</v>
      </c>
    </row>
    <row r="2" spans="1:4" x14ac:dyDescent="0.2">
      <c r="A2" s="9" t="s">
        <v>30</v>
      </c>
      <c r="B2" s="11">
        <v>6.2E-2</v>
      </c>
      <c r="C2" s="11">
        <v>0.14599999999999999</v>
      </c>
      <c r="D2" s="11">
        <v>0.128</v>
      </c>
    </row>
    <row r="3" spans="1:4" x14ac:dyDescent="0.2">
      <c r="A3" s="9" t="s">
        <v>31</v>
      </c>
      <c r="B3" s="10" t="s">
        <v>0</v>
      </c>
      <c r="C3" s="10" t="s">
        <v>1</v>
      </c>
      <c r="D3" s="10" t="s">
        <v>2</v>
      </c>
    </row>
    <row r="4" spans="1:4" x14ac:dyDescent="0.2">
      <c r="A4" s="9" t="s">
        <v>0</v>
      </c>
      <c r="B4" s="11">
        <v>1.46E-2</v>
      </c>
      <c r="C4" s="11">
        <v>1.8700000000000001E-2</v>
      </c>
      <c r="D4" s="11">
        <v>1.4500000000000001E-2</v>
      </c>
    </row>
    <row r="5" spans="1:4" x14ac:dyDescent="0.2">
      <c r="A5" s="9" t="s">
        <v>1</v>
      </c>
      <c r="B5" s="11">
        <v>1.8700000000000001E-2</v>
      </c>
      <c r="C5" s="11">
        <v>8.5400000000000004E-2</v>
      </c>
      <c r="D5" s="11">
        <v>1.04E-2</v>
      </c>
    </row>
    <row r="6" spans="1:4" x14ac:dyDescent="0.2">
      <c r="A6" s="9" t="s">
        <v>2</v>
      </c>
      <c r="B6" s="11">
        <v>1.4500000000000001E-2</v>
      </c>
      <c r="C6" s="11">
        <v>1.04E-2</v>
      </c>
      <c r="D6" s="11">
        <v>2.8899999999999999E-2</v>
      </c>
    </row>
    <row r="7" spans="1:4" x14ac:dyDescent="0.2">
      <c r="A7" s="9"/>
      <c r="B7" s="10" t="s">
        <v>0</v>
      </c>
      <c r="C7" s="10" t="s">
        <v>1</v>
      </c>
      <c r="D7" s="10" t="s">
        <v>2</v>
      </c>
    </row>
    <row r="8" spans="1:4" x14ac:dyDescent="0.2">
      <c r="A8" s="12" t="s">
        <v>32</v>
      </c>
      <c r="B8" s="13"/>
      <c r="C8" s="13"/>
      <c r="D8" s="13"/>
    </row>
    <row r="9" spans="1:4" x14ac:dyDescent="0.2">
      <c r="A9" s="9" t="s">
        <v>33</v>
      </c>
      <c r="B9" s="11">
        <v>0.4384726055083798</v>
      </c>
      <c r="C9" s="11">
        <v>0.10773283110352368</v>
      </c>
      <c r="D9" s="11">
        <v>0.45379456338809654</v>
      </c>
    </row>
    <row r="10" spans="1:4" x14ac:dyDescent="0.2">
      <c r="A10" s="13"/>
      <c r="B10" s="13"/>
      <c r="C10" s="13"/>
      <c r="D10" s="13"/>
    </row>
    <row r="11" spans="1:4" x14ac:dyDescent="0.2">
      <c r="A11" s="14" t="s">
        <v>34</v>
      </c>
      <c r="B11" s="15">
        <f>(9.5+0.1*6)/100</f>
        <v>0.10099999999999999</v>
      </c>
      <c r="C11" s="13"/>
      <c r="D11" s="13"/>
    </row>
    <row r="12" spans="1:4" x14ac:dyDescent="0.2">
      <c r="A12" s="14" t="s">
        <v>35</v>
      </c>
      <c r="B12" s="15">
        <f>B2*B9+C2*C9+D2*D9</f>
        <v>0.10099999899631035</v>
      </c>
      <c r="C12" s="13"/>
      <c r="D12" s="13"/>
    </row>
    <row r="13" spans="1:4" x14ac:dyDescent="0.2">
      <c r="A13" s="14" t="s">
        <v>36</v>
      </c>
      <c r="B13" s="15">
        <f>SUM(B9:D9)</f>
        <v>1</v>
      </c>
      <c r="C13" s="13"/>
      <c r="D13" s="13"/>
    </row>
    <row r="14" spans="1:4" x14ac:dyDescent="0.2">
      <c r="A14" s="14" t="s">
        <v>37</v>
      </c>
      <c r="B14" s="15">
        <f>B4*B9*B9 + B5*B9*C9 + B6*B9*D9 + C4*C9*B9 + C5*C9*C9 + C6*C9*D9 + D4*D9*B9 + D5*D9*C9+ D6*D9*D9</f>
        <v>1.8303413855216139E-2</v>
      </c>
      <c r="C14" s="13"/>
      <c r="D14" s="13"/>
    </row>
    <row r="15" spans="1:4" x14ac:dyDescent="0.2">
      <c r="A15" s="14" t="s">
        <v>38</v>
      </c>
      <c r="B15" s="15">
        <f>SQRT(B14)</f>
        <v>0.13529010996823138</v>
      </c>
      <c r="C15" s="13"/>
      <c r="D15" s="13"/>
    </row>
    <row r="16" spans="1:4" x14ac:dyDescent="0.2">
      <c r="A16" s="13"/>
      <c r="B16" s="13"/>
      <c r="C16" s="13"/>
      <c r="D16" s="13"/>
    </row>
    <row r="17" spans="1:4" x14ac:dyDescent="0.2">
      <c r="A17" s="12"/>
      <c r="B17" s="13"/>
      <c r="C17" s="13"/>
      <c r="D17" s="13"/>
    </row>
    <row r="18" spans="1:4" x14ac:dyDescent="0.2">
      <c r="B18" s="13"/>
      <c r="C18" s="13"/>
      <c r="D18" s="13"/>
    </row>
    <row r="19" spans="1:4" x14ac:dyDescent="0.2">
      <c r="A19" s="13"/>
      <c r="B19" s="13"/>
      <c r="C19" s="13"/>
      <c r="D19" s="13"/>
    </row>
    <row r="20" spans="1:4" x14ac:dyDescent="0.2">
      <c r="A20" s="13"/>
      <c r="B20" s="13"/>
      <c r="C20" s="13"/>
      <c r="D20" s="13"/>
    </row>
    <row r="21" spans="1:4" x14ac:dyDescent="0.2">
      <c r="A21" s="13"/>
      <c r="B21" s="13"/>
      <c r="C21" s="13"/>
      <c r="D21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40BA-B73F-0C44-BC1F-133A585D456F}">
  <dimension ref="A1:G32"/>
  <sheetViews>
    <sheetView showGridLines="0" workbookViewId="0"/>
  </sheetViews>
  <sheetFormatPr baseColWidth="10" defaultRowHeight="16" x14ac:dyDescent="0.2"/>
  <cols>
    <col min="1" max="1" width="2.33203125" customWidth="1"/>
    <col min="2" max="2" width="6.33203125" bestFit="1" customWidth="1"/>
    <col min="3" max="3" width="26.33203125" bestFit="1" customWidth="1"/>
    <col min="4" max="4" width="12.6640625" bestFit="1" customWidth="1"/>
    <col min="5" max="5" width="13.5" bestFit="1" customWidth="1"/>
    <col min="6" max="6" width="10.5" bestFit="1" customWidth="1"/>
    <col min="7" max="7" width="12.1640625" bestFit="1" customWidth="1"/>
  </cols>
  <sheetData>
    <row r="1" spans="1:5" x14ac:dyDescent="0.2">
      <c r="A1" s="2" t="s">
        <v>44</v>
      </c>
    </row>
    <row r="2" spans="1:5" x14ac:dyDescent="0.2">
      <c r="A2" s="2" t="s">
        <v>45</v>
      </c>
    </row>
    <row r="3" spans="1:5" x14ac:dyDescent="0.2">
      <c r="A3" s="2" t="s">
        <v>46</v>
      </c>
    </row>
    <row r="4" spans="1:5" x14ac:dyDescent="0.2">
      <c r="A4" s="2" t="s">
        <v>47</v>
      </c>
    </row>
    <row r="5" spans="1:5" x14ac:dyDescent="0.2">
      <c r="A5" s="2" t="s">
        <v>48</v>
      </c>
    </row>
    <row r="6" spans="1:5" x14ac:dyDescent="0.2">
      <c r="A6" s="2"/>
      <c r="B6" t="s">
        <v>49</v>
      </c>
    </row>
    <row r="7" spans="1:5" x14ac:dyDescent="0.2">
      <c r="A7" s="2"/>
      <c r="B7" t="s">
        <v>50</v>
      </c>
    </row>
    <row r="8" spans="1:5" x14ac:dyDescent="0.2">
      <c r="A8" s="2"/>
      <c r="B8" t="s">
        <v>51</v>
      </c>
    </row>
    <row r="9" spans="1:5" x14ac:dyDescent="0.2">
      <c r="A9" s="2" t="s">
        <v>52</v>
      </c>
    </row>
    <row r="10" spans="1:5" x14ac:dyDescent="0.2">
      <c r="B10" t="s">
        <v>53</v>
      </c>
    </row>
    <row r="11" spans="1:5" x14ac:dyDescent="0.2">
      <c r="B11" t="s">
        <v>54</v>
      </c>
    </row>
    <row r="12" spans="1:5" x14ac:dyDescent="0.2">
      <c r="B12" t="s">
        <v>55</v>
      </c>
    </row>
    <row r="14" spans="1:5" ht="17" thickBot="1" x14ac:dyDescent="0.25">
      <c r="A14" t="s">
        <v>56</v>
      </c>
    </row>
    <row r="15" spans="1:5" ht="17" thickBot="1" x14ac:dyDescent="0.25">
      <c r="B15" s="17" t="s">
        <v>57</v>
      </c>
      <c r="C15" s="17" t="s">
        <v>58</v>
      </c>
      <c r="D15" s="17" t="s">
        <v>59</v>
      </c>
      <c r="E15" s="17" t="s">
        <v>60</v>
      </c>
    </row>
    <row r="16" spans="1:5" ht="17" thickBot="1" x14ac:dyDescent="0.25">
      <c r="B16" s="16" t="s">
        <v>68</v>
      </c>
      <c r="C16" s="16" t="s">
        <v>69</v>
      </c>
      <c r="D16" s="16">
        <v>2.3891260000000001E-2</v>
      </c>
      <c r="E16" s="16">
        <v>1.8303413855216139E-2</v>
      </c>
    </row>
    <row r="19" spans="1:7" ht="17" thickBot="1" x14ac:dyDescent="0.25">
      <c r="A19" t="s">
        <v>61</v>
      </c>
    </row>
    <row r="20" spans="1:7" ht="17" thickBot="1" x14ac:dyDescent="0.25">
      <c r="B20" s="17" t="s">
        <v>57</v>
      </c>
      <c r="C20" s="17" t="s">
        <v>58</v>
      </c>
      <c r="D20" s="17" t="s">
        <v>59</v>
      </c>
      <c r="E20" s="17" t="s">
        <v>60</v>
      </c>
      <c r="F20" s="17" t="s">
        <v>62</v>
      </c>
    </row>
    <row r="21" spans="1:7" x14ac:dyDescent="0.2">
      <c r="B21" s="18" t="s">
        <v>70</v>
      </c>
      <c r="C21" s="18" t="s">
        <v>71</v>
      </c>
      <c r="D21" s="18">
        <v>0.33</v>
      </c>
      <c r="E21" s="18">
        <v>0.4384726055083798</v>
      </c>
      <c r="F21" s="18" t="s">
        <v>72</v>
      </c>
    </row>
    <row r="22" spans="1:7" x14ac:dyDescent="0.2">
      <c r="B22" s="18" t="s">
        <v>73</v>
      </c>
      <c r="C22" s="18" t="s">
        <v>74</v>
      </c>
      <c r="D22" s="18">
        <v>0.33</v>
      </c>
      <c r="E22" s="18">
        <v>0.10773283110352368</v>
      </c>
      <c r="F22" s="18" t="s">
        <v>72</v>
      </c>
    </row>
    <row r="23" spans="1:7" ht="17" thickBot="1" x14ac:dyDescent="0.25">
      <c r="B23" s="16" t="s">
        <v>75</v>
      </c>
      <c r="C23" s="16" t="s">
        <v>76</v>
      </c>
      <c r="D23" s="16">
        <v>0.34</v>
      </c>
      <c r="E23" s="16">
        <v>0.45379456338809654</v>
      </c>
      <c r="F23" s="16" t="s">
        <v>72</v>
      </c>
    </row>
    <row r="26" spans="1:7" ht="17" thickBot="1" x14ac:dyDescent="0.25">
      <c r="A26" t="s">
        <v>63</v>
      </c>
    </row>
    <row r="27" spans="1:7" ht="17" thickBot="1" x14ac:dyDescent="0.25">
      <c r="B27" s="17" t="s">
        <v>57</v>
      </c>
      <c r="C27" s="17" t="s">
        <v>58</v>
      </c>
      <c r="D27" s="17" t="s">
        <v>64</v>
      </c>
      <c r="E27" s="17" t="s">
        <v>65</v>
      </c>
      <c r="F27" s="17" t="s">
        <v>66</v>
      </c>
      <c r="G27" s="17" t="s">
        <v>67</v>
      </c>
    </row>
    <row r="28" spans="1:7" x14ac:dyDescent="0.2">
      <c r="B28" s="18" t="s">
        <v>77</v>
      </c>
      <c r="C28" s="18" t="s">
        <v>78</v>
      </c>
      <c r="D28" s="18">
        <v>0.10099999899631035</v>
      </c>
      <c r="E28" s="18" t="s">
        <v>79</v>
      </c>
      <c r="F28" s="18" t="s">
        <v>80</v>
      </c>
      <c r="G28" s="18">
        <v>0</v>
      </c>
    </row>
    <row r="29" spans="1:7" x14ac:dyDescent="0.2">
      <c r="B29" s="18" t="s">
        <v>81</v>
      </c>
      <c r="C29" s="18" t="s">
        <v>82</v>
      </c>
      <c r="D29" s="18">
        <v>1</v>
      </c>
      <c r="E29" s="18" t="s">
        <v>83</v>
      </c>
      <c r="F29" s="18" t="s">
        <v>80</v>
      </c>
      <c r="G29" s="18">
        <v>0</v>
      </c>
    </row>
    <row r="30" spans="1:7" x14ac:dyDescent="0.2">
      <c r="B30" s="18" t="s">
        <v>70</v>
      </c>
      <c r="C30" s="18" t="s">
        <v>71</v>
      </c>
      <c r="D30" s="18">
        <v>0.4384726055083798</v>
      </c>
      <c r="E30" s="18" t="s">
        <v>84</v>
      </c>
      <c r="F30" s="18" t="s">
        <v>85</v>
      </c>
      <c r="G30" s="18">
        <v>0.4384726055083798</v>
      </c>
    </row>
    <row r="31" spans="1:7" x14ac:dyDescent="0.2">
      <c r="B31" s="18" t="s">
        <v>73</v>
      </c>
      <c r="C31" s="18" t="s">
        <v>74</v>
      </c>
      <c r="D31" s="18">
        <v>0.10773283110352368</v>
      </c>
      <c r="E31" s="18" t="s">
        <v>86</v>
      </c>
      <c r="F31" s="18" t="s">
        <v>85</v>
      </c>
      <c r="G31" s="18">
        <v>0.10773283110352368</v>
      </c>
    </row>
    <row r="32" spans="1:7" ht="17" thickBot="1" x14ac:dyDescent="0.25">
      <c r="B32" s="16" t="s">
        <v>75</v>
      </c>
      <c r="C32" s="16" t="s">
        <v>76</v>
      </c>
      <c r="D32" s="16">
        <v>0.45379456338809654</v>
      </c>
      <c r="E32" s="16" t="s">
        <v>87</v>
      </c>
      <c r="F32" s="16" t="s">
        <v>85</v>
      </c>
      <c r="G32" s="16">
        <v>0.45379456338809654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8238-AD58-9841-A460-380C1E91B08D}">
  <dimension ref="A1:E17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26.33203125" bestFit="1" customWidth="1"/>
    <col min="4" max="5" width="12.1640625" bestFit="1" customWidth="1"/>
  </cols>
  <sheetData>
    <row r="1" spans="1:5" x14ac:dyDescent="0.2">
      <c r="A1" s="2" t="s">
        <v>88</v>
      </c>
    </row>
    <row r="2" spans="1:5" x14ac:dyDescent="0.2">
      <c r="A2" s="2" t="s">
        <v>45</v>
      </c>
    </row>
    <row r="3" spans="1:5" x14ac:dyDescent="0.2">
      <c r="A3" s="2" t="s">
        <v>89</v>
      </c>
    </row>
    <row r="6" spans="1:5" ht="17" thickBot="1" x14ac:dyDescent="0.25">
      <c r="A6" t="s">
        <v>61</v>
      </c>
    </row>
    <row r="7" spans="1:5" x14ac:dyDescent="0.2">
      <c r="B7" s="19"/>
      <c r="C7" s="19"/>
      <c r="D7" s="19" t="s">
        <v>90</v>
      </c>
      <c r="E7" s="19" t="s">
        <v>92</v>
      </c>
    </row>
    <row r="8" spans="1:5" ht="17" thickBot="1" x14ac:dyDescent="0.25">
      <c r="B8" s="20" t="s">
        <v>57</v>
      </c>
      <c r="C8" s="20" t="s">
        <v>58</v>
      </c>
      <c r="D8" s="20" t="s">
        <v>91</v>
      </c>
      <c r="E8" s="20" t="s">
        <v>93</v>
      </c>
    </row>
    <row r="9" spans="1:5" x14ac:dyDescent="0.2">
      <c r="B9" s="18" t="s">
        <v>70</v>
      </c>
      <c r="C9" s="18" t="s">
        <v>71</v>
      </c>
      <c r="D9" s="18">
        <v>0.4384726055083798</v>
      </c>
      <c r="E9" s="18">
        <v>0</v>
      </c>
    </row>
    <row r="10" spans="1:5" x14ac:dyDescent="0.2">
      <c r="B10" s="18" t="s">
        <v>73</v>
      </c>
      <c r="C10" s="18" t="s">
        <v>74</v>
      </c>
      <c r="D10" s="18">
        <v>0.10773283110352368</v>
      </c>
      <c r="E10" s="18">
        <v>0</v>
      </c>
    </row>
    <row r="11" spans="1:5" ht="17" thickBot="1" x14ac:dyDescent="0.25">
      <c r="B11" s="16" t="s">
        <v>75</v>
      </c>
      <c r="C11" s="16" t="s">
        <v>76</v>
      </c>
      <c r="D11" s="16">
        <v>0.45379456338809654</v>
      </c>
      <c r="E11" s="16">
        <v>0</v>
      </c>
    </row>
    <row r="13" spans="1:5" ht="17" thickBot="1" x14ac:dyDescent="0.25">
      <c r="A13" t="s">
        <v>63</v>
      </c>
    </row>
    <row r="14" spans="1:5" x14ac:dyDescent="0.2">
      <c r="B14" s="19"/>
      <c r="C14" s="19"/>
      <c r="D14" s="19" t="s">
        <v>90</v>
      </c>
      <c r="E14" s="19" t="s">
        <v>94</v>
      </c>
    </row>
    <row r="15" spans="1:5" ht="17" thickBot="1" x14ac:dyDescent="0.25">
      <c r="B15" s="20" t="s">
        <v>57</v>
      </c>
      <c r="C15" s="20" t="s">
        <v>58</v>
      </c>
      <c r="D15" s="20" t="s">
        <v>91</v>
      </c>
      <c r="E15" s="20" t="s">
        <v>95</v>
      </c>
    </row>
    <row r="16" spans="1:5" x14ac:dyDescent="0.2">
      <c r="B16" s="18" t="s">
        <v>77</v>
      </c>
      <c r="C16" s="18" t="s">
        <v>78</v>
      </c>
      <c r="D16" s="18">
        <v>0.10099999899631035</v>
      </c>
      <c r="E16" s="18">
        <v>0.16959515141043485</v>
      </c>
    </row>
    <row r="17" spans="2:5" ht="17" thickBot="1" x14ac:dyDescent="0.25">
      <c r="B17" s="16" t="s">
        <v>81</v>
      </c>
      <c r="C17" s="16" t="s">
        <v>82</v>
      </c>
      <c r="D17" s="16">
        <v>1</v>
      </c>
      <c r="E17" s="16">
        <v>1.947777246783091E-2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76A8-415B-D645-AED3-AB6AA8FB2724}">
  <dimension ref="A1:J15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20.33203125" bestFit="1" customWidth="1"/>
    <col min="4" max="4" width="12.16406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2" t="s">
        <v>96</v>
      </c>
    </row>
    <row r="2" spans="1:10" x14ac:dyDescent="0.2">
      <c r="A2" s="2" t="s">
        <v>45</v>
      </c>
    </row>
    <row r="3" spans="1:10" x14ac:dyDescent="0.2">
      <c r="A3" s="2" t="s">
        <v>89</v>
      </c>
    </row>
    <row r="5" spans="1:10" ht="17" thickBot="1" x14ac:dyDescent="0.25"/>
    <row r="6" spans="1:10" x14ac:dyDescent="0.2">
      <c r="B6" s="19"/>
      <c r="C6" s="19" t="s">
        <v>97</v>
      </c>
      <c r="D6" s="19"/>
    </row>
    <row r="7" spans="1:10" ht="17" thickBot="1" x14ac:dyDescent="0.25">
      <c r="B7" s="20" t="s">
        <v>57</v>
      </c>
      <c r="C7" s="20" t="s">
        <v>58</v>
      </c>
      <c r="D7" s="20" t="s">
        <v>91</v>
      </c>
    </row>
    <row r="8" spans="1:10" ht="17" thickBot="1" x14ac:dyDescent="0.25">
      <c r="B8" s="16" t="s">
        <v>68</v>
      </c>
      <c r="C8" s="16" t="s">
        <v>69</v>
      </c>
      <c r="D8" s="16">
        <v>1.8303413855216139E-2</v>
      </c>
    </row>
    <row r="10" spans="1:10" ht="17" thickBot="1" x14ac:dyDescent="0.25"/>
    <row r="11" spans="1:10" x14ac:dyDescent="0.2">
      <c r="B11" s="19"/>
      <c r="C11" s="19" t="s">
        <v>98</v>
      </c>
      <c r="D11" s="19"/>
      <c r="F11" s="19" t="s">
        <v>99</v>
      </c>
      <c r="G11" s="19" t="s">
        <v>97</v>
      </c>
      <c r="I11" s="19" t="s">
        <v>102</v>
      </c>
      <c r="J11" s="19" t="s">
        <v>97</v>
      </c>
    </row>
    <row r="12" spans="1:10" ht="17" thickBot="1" x14ac:dyDescent="0.25">
      <c r="B12" s="20" t="s">
        <v>57</v>
      </c>
      <c r="C12" s="20" t="s">
        <v>58</v>
      </c>
      <c r="D12" s="20" t="s">
        <v>91</v>
      </c>
      <c r="F12" s="20" t="s">
        <v>100</v>
      </c>
      <c r="G12" s="20" t="s">
        <v>101</v>
      </c>
      <c r="I12" s="20" t="s">
        <v>100</v>
      </c>
      <c r="J12" s="20" t="s">
        <v>101</v>
      </c>
    </row>
    <row r="13" spans="1:10" x14ac:dyDescent="0.2">
      <c r="B13" s="18" t="s">
        <v>70</v>
      </c>
      <c r="C13" s="18" t="s">
        <v>71</v>
      </c>
      <c r="D13" s="18">
        <v>0.4384726055083798</v>
      </c>
      <c r="F13" s="18">
        <v>0</v>
      </c>
      <c r="G13" s="18">
        <v>85</v>
      </c>
      <c r="I13" s="18">
        <v>250</v>
      </c>
      <c r="J13" s="18">
        <v>18835</v>
      </c>
    </row>
    <row r="14" spans="1:10" x14ac:dyDescent="0.2">
      <c r="B14" s="18" t="s">
        <v>73</v>
      </c>
      <c r="C14" s="18" t="s">
        <v>74</v>
      </c>
      <c r="D14" s="18">
        <v>0.10773283110352368</v>
      </c>
      <c r="F14" s="18">
        <v>0</v>
      </c>
      <c r="G14" s="18">
        <v>110</v>
      </c>
      <c r="I14" s="18">
        <v>398.5</v>
      </c>
      <c r="J14" s="18">
        <v>20035</v>
      </c>
    </row>
    <row r="15" spans="1:10" ht="17" thickBot="1" x14ac:dyDescent="0.25">
      <c r="B15" s="16" t="s">
        <v>75</v>
      </c>
      <c r="C15" s="16" t="s">
        <v>76</v>
      </c>
      <c r="D15" s="16">
        <v>0.45379456338809654</v>
      </c>
      <c r="F15" s="16">
        <v>0</v>
      </c>
      <c r="G15" s="16">
        <v>125</v>
      </c>
      <c r="I15" s="16">
        <v>597</v>
      </c>
      <c r="J15" s="16">
        <v>21020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Justin_solver (2)</vt:lpstr>
      <vt:lpstr>Main </vt:lpstr>
      <vt:lpstr>Before Solver</vt:lpstr>
      <vt:lpstr>before_solver</vt:lpstr>
      <vt:lpstr>Answer Report 1</vt:lpstr>
      <vt:lpstr>Sensitivity Report 1</vt:lpstr>
      <vt:lpstr>Limits 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PYAEPYAE.THU4</dc:creator>
  <cp:lastModifiedBy>PYAEPYAE.THU4</cp:lastModifiedBy>
  <dcterms:created xsi:type="dcterms:W3CDTF">2025-12-05T18:50:25Z</dcterms:created>
  <dcterms:modified xsi:type="dcterms:W3CDTF">2026-01-27T19:27:57Z</dcterms:modified>
</cp:coreProperties>
</file>